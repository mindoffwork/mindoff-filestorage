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D:\02_Work\01_Mindoff\01_Projects\Mindoff-Filestorage\"/>
    </mc:Choice>
  </mc:AlternateContent>
  <xr:revisionPtr revIDLastSave="0" documentId="13_ncr:1_{5C5FC8B5-E1F0-4C80-9D36-F42815EFE828}"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9" i="1" l="1"/>
  <c r="H19" i="1"/>
  <c r="I18" i="1"/>
  <c r="H18" i="1"/>
  <c r="H17" i="1"/>
  <c r="I17" i="1"/>
  <c r="I16" i="1"/>
  <c r="H16" i="1"/>
  <c r="H15" i="1"/>
  <c r="I15" i="1"/>
  <c r="I13" i="1"/>
  <c r="I14" i="1"/>
  <c r="H14" i="1"/>
  <c r="H12" i="1"/>
  <c r="H13" i="1"/>
  <c r="H11" i="1"/>
  <c r="H10" i="1"/>
  <c r="H9" i="1"/>
  <c r="H8" i="1"/>
  <c r="H7" i="1"/>
  <c r="H6" i="1"/>
  <c r="H5" i="1"/>
  <c r="H4" i="1"/>
  <c r="H3" i="1"/>
  <c r="H2" i="1"/>
  <c r="I12" i="1"/>
  <c r="I3" i="1"/>
  <c r="I4" i="1"/>
  <c r="I5" i="1"/>
  <c r="I6" i="1"/>
  <c r="I7" i="1"/>
  <c r="I8" i="1"/>
  <c r="I9" i="1"/>
  <c r="I10" i="1"/>
  <c r="I11" i="1"/>
  <c r="I2" i="1"/>
  <c r="C3" i="2"/>
  <c r="C4" i="2"/>
  <c r="C5" i="2"/>
  <c r="C6" i="2"/>
  <c r="C7" i="2"/>
  <c r="C8" i="2"/>
  <c r="C9" i="2"/>
  <c r="C10" i="2"/>
  <c r="C11" i="2"/>
  <c r="C2" i="2"/>
  <c r="A3" i="2"/>
  <c r="A4" i="2" s="1"/>
  <c r="A5" i="2" s="1"/>
  <c r="A6" i="2" s="1"/>
  <c r="A7" i="2" s="1"/>
  <c r="A8" i="2" s="1"/>
  <c r="A9" i="2" s="1"/>
  <c r="A10" i="2" s="1"/>
  <c r="A11" i="2" s="1"/>
  <c r="A3" i="1"/>
  <c r="A4" i="1" s="1"/>
  <c r="A5" i="1" s="1"/>
  <c r="A6" i="1" s="1"/>
  <c r="A7" i="1" s="1"/>
  <c r="A8" i="1" s="1"/>
  <c r="A9" i="1" s="1"/>
  <c r="A10" i="1" s="1"/>
  <c r="A11" i="1" s="1"/>
</calcChain>
</file>

<file path=xl/sharedStrings.xml><?xml version="1.0" encoding="utf-8"?>
<sst xmlns="http://schemas.openxmlformats.org/spreadsheetml/2006/main" count="157" uniqueCount="139">
  <si>
    <t>ID</t>
  </si>
  <si>
    <t>NAME</t>
  </si>
  <si>
    <t>TOPIC</t>
  </si>
  <si>
    <t>COLOR</t>
  </si>
  <si>
    <t>DESCRIPTION</t>
  </si>
  <si>
    <t>Design</t>
  </si>
  <si>
    <t>Build</t>
  </si>
  <si>
    <t>Philosophy</t>
  </si>
  <si>
    <t>Lifestyle</t>
  </si>
  <si>
    <t>Artistry</t>
  </si>
  <si>
    <t>Food</t>
  </si>
  <si>
    <t>Programming</t>
  </si>
  <si>
    <t>Tech</t>
  </si>
  <si>
    <t>Gardening</t>
  </si>
  <si>
    <t>Pets</t>
  </si>
  <si>
    <t>design_services</t>
  </si>
  <si>
    <t>ICON</t>
  </si>
  <si>
    <t>LINK</t>
  </si>
  <si>
    <t>IMG</t>
  </si>
  <si>
    <t>IMG_ALT</t>
  </si>
  <si>
    <t>construction</t>
  </si>
  <si>
    <t>spa</t>
  </si>
  <si>
    <t>self_improvement</t>
  </si>
  <si>
    <t>palette</t>
  </si>
  <si>
    <t>restaurant</t>
  </si>
  <si>
    <t>developer_mode</t>
  </si>
  <si>
    <t>devices</t>
  </si>
  <si>
    <t>park</t>
  </si>
  <si>
    <t>pets</t>
  </si>
  <si>
    <t>Dive into the art of building with a focus on efficiency and purposeful creation. Learn how to construct meaningful structures using sustainable materials and techniques, embracing essentialism while respecting both nature and your time.</t>
  </si>
  <si>
    <t>Engage with profound ideas that encourage intentional living and a deeper understanding of life’s complexities. Explore philosophical concepts that inspire you to embrace simplicity and find beauty in the everyday, often drawing from minimalistic principles.</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</si>
  <si>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</si>
  <si>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</si>
  <si>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</si>
  <si>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</si>
  <si>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</si>
  <si>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Celebrate the joy of pet ownership with a thoughtful approach. Learn how to provide a loving, uncomplicated environment for your pets, focusing on their needs while enjoying a harmonious home that enhances your bond with them.</t>
  </si>
  <si>
    <t>Cultivate a garden that reflects your passion for nature and simplicity. Discover strategies for creating beautiful, low-maintenance spaces that promote sustainability and deepen your connection to the environment.</t>
  </si>
  <si>
    <t>The Art of Minimalism in Modern Design</t>
  </si>
  <si>
    <t>Explore how minimalism influences contemporary design choices, from architecture to interior decor. Discover practical tips for incorporating minimalistic principles to create serene and functional spaces that prioritize simplicity and usability.</t>
  </si>
  <si>
    <t>Dive into the world of DIY furniture building using reclaimed wood. This post outlines essential tools and techniques, plus step-by-step guides to create beautiful, sustainable pieces that enhance your living space while reducing waste.</t>
  </si>
  <si>
    <t>This post delves into how philosophical ideas shape our understanding of design. Explore concepts like functionality, aesthetics, and emotional connection, and learn how to create spaces that reflect deeper values and purpose.</t>
  </si>
  <si>
    <t>Discover the benefits of decluttering your home and mind for a simpler lifestyle. This post offers practical strategies to reduce excess, create organized spaces, and cultivate a more intentional approach to daily living.</t>
  </si>
  <si>
    <t>This post encourages readers to embrace their creativity, regardless of skill level. Learn how to explore different artistic mediums, overcome creative blocks, and find inspiration in everyday life to express your unique artistic voice.</t>
  </si>
  <si>
    <t>This post presents easy, nutritious recipes designed for those with a hectic schedule. Discover meal prep tips and quick dishes that prioritize healthy ingredients without sacrificing flavor, making it easier to eat well daily.</t>
  </si>
  <si>
    <t>Explore essential coding practices that lead to cleaner, more maintainable code. This post covers topics such as code organization, commenting, and utilizing frameworks to enhance efficiency and readability in programming projects.</t>
  </si>
  <si>
    <t>Discover how smart home technology is revolutionizing the way we live. This post explores the latest advancements in home automation, security, and energy efficiency, offering tips on creating a connected and convenient living environment.</t>
  </si>
  <si>
    <t>This post is a beginner's guide to starting a sustainable garden at home. Learn about essential plants, soil preparation, and eco-friendly practices that promote biodiversity and help you grow your own food and flowers.</t>
  </si>
  <si>
    <t>Explore the fascinating world of pet behavior and communication. This post offers insights into understanding your pet's needs and emotions, providing tips for strengthening the bond between you and your animal companions through positive reinforcement and care.</t>
  </si>
  <si>
    <t>cartoon-illustration-of-small-pond-with-lillypads-and-lotus-in-the-middle-surrounded-by-stones-and-plants-with-lavender-background.jpeg</t>
  </si>
  <si>
    <t>UPDATED_ON</t>
  </si>
  <si>
    <t>design</t>
  </si>
  <si>
    <t>programming</t>
  </si>
  <si>
    <t>#F0ECFD</t>
  </si>
  <si>
    <t>cardtoon-style-3d-minimalistic-retro-style-app-inside-a-phone-surrounded-by-minimalists-objects-with-green-background.jpeg</t>
  </si>
  <si>
    <t>cartoon-illustration-of-burger-filled-with-onion-lettuce-meat-patty-cheese-with-teal-background.jpeg</t>
  </si>
  <si>
    <t>cartoon-illustration-of-coding-themed-image-featuring-git-like-logo-command-line-interface-with-skyblue-background.jpeg</t>
  </si>
  <si>
    <t>cartoon-illustration-of-gray-dslr-style-camera-with-mild-orange-background.jpeg</t>
  </si>
  <si>
    <t>#FEBBA1</t>
  </si>
  <si>
    <t>#BBF1FD</t>
  </si>
  <si>
    <t>cartoon-illustration-of-simple-small-pond-surounded-by-trees-and-rocks-with-mild-blue-background-.jpeg</t>
  </si>
  <si>
    <t>cartoon-illustration-of-smartphone-homepage-filled-with-app-icons-surrounded-by-random-icons-with-yellow-background.jpeg</t>
  </si>
  <si>
    <t>#FEC959</t>
  </si>
  <si>
    <t>cartoon-illustration-of-windows-laptop-with-grey-background.jpeg</t>
  </si>
  <si>
    <t>#EBEAE5</t>
  </si>
  <si>
    <t>#7DC5A1</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</si>
  <si>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</si>
  <si>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</si>
  <si>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</si>
  <si>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</si>
  <si>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</si>
  <si>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</si>
  <si>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</si>
  <si>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</si>
  <si>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</si>
  <si>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Understanding Pet Behavior</t>
  </si>
  <si>
    <t>Building a Stronger Bond with Your Furry Friends</t>
  </si>
  <si>
    <t>Gardening for Beginners</t>
  </si>
  <si>
    <t>Cultivating a Sustainable Home Garden</t>
  </si>
  <si>
    <t>DIY Projects</t>
  </si>
  <si>
    <t>Functional Furniture from Reclaimed Wood</t>
  </si>
  <si>
    <t>Best Practices for Clean Programming</t>
  </si>
  <si>
    <t>Streamlining Your Code</t>
  </si>
  <si>
    <t>Nourishing Simplicity</t>
  </si>
  <si>
    <t>Wholesome Recipes for Busy Lives</t>
  </si>
  <si>
    <t>The Joy of Creating</t>
  </si>
  <si>
    <t>Finding Your Artistic Voice</t>
  </si>
  <si>
    <t>Simplifying Your Life</t>
  </si>
  <si>
    <t>Dive into the world of DIY furniture</t>
  </si>
  <si>
    <t>Building using reclaimed wood</t>
  </si>
  <si>
    <t>The Power of Decluttering</t>
  </si>
  <si>
    <t>The Future of Smart Home</t>
  </si>
  <si>
    <t>Integrating Technology for a Seamless Lifestyle</t>
  </si>
  <si>
    <t>Transforming Spaces</t>
  </si>
  <si>
    <t>kid-petting-a-dog-with-yellow-background.jpeg</t>
  </si>
  <si>
    <t>#FCF2D7</t>
  </si>
  <si>
    <t>#C7CCEC</t>
  </si>
  <si>
    <t>#C2D7CE</t>
  </si>
  <si>
    <t>#BBE6DD</t>
  </si>
  <si>
    <t>Explore minimalistic design, where every element serves a purpose. Discover how simplicity can lead to elegance in aesthetics and functionality, transforming spaces into serene environments that inspire creativity and clarity.</t>
  </si>
  <si>
    <t>SSH, Putty, and WinSCP</t>
  </si>
  <si>
    <t>The Ultimate Guide to Remote Server Management</t>
  </si>
  <si>
    <t>#A4C1CD</t>
  </si>
  <si>
    <t>laptop-linked-to-cloud-server-with-flat-backgroud-and-black-outline-cartoon.jpeg</t>
  </si>
  <si>
    <t>Tired of convoluted tutorials on remote server management? Let’s cut the fluff. This straightforward guide covers everything you need to know about SSH, Putty, and WinSCP—what they are, how they work, and how to make them work for you. It’s all the essential info and none of the unnecessary details.</t>
  </si>
  <si>
    <t>Dal ‘n Spinach</t>
  </si>
  <si>
    <t>A Simple Vegan Comfort Curry</t>
  </si>
  <si>
    <t>food</t>
  </si>
  <si>
    <t>A warm, creamy, and mildly spiced dish that combines the earthy richness of lentils with the fresh vibrance of spinach and the warmth of aromatic spices. Every bite delivers a comforting blend of nuttiness and creaminess without being too sweet or overly spicy. Packed with protein and fiber, this wholesome meal pairs perfectly with rice, roti, or even quinoa.</t>
  </si>
  <si>
    <t>minimalist-cartoon-style-illustration-blended-yellow-dal-shredded-spinach-cilantro-garnish-fine-dining-plating-flat-colors-black-outlines-top-down-view.jpeg</t>
  </si>
  <si>
    <t>#B1D9E2</t>
  </si>
  <si>
    <t>#BCE0DE</t>
  </si>
  <si>
    <t>philosophy</t>
  </si>
  <si>
    <t>How to Get More Done Without Burnout</t>
  </si>
  <si>
    <t>Most of us believe big achievements come from doing a lot of things every day. But real progress happens by completing just one small, meaningful task—something that directly pushes a goal forward. Trying to do everything at once can be overwhelming, but focusing on just one essential task each day leads to consistent growth over time.</t>
  </si>
  <si>
    <t>single-open-notebook-with-pen-and-checkbox-minimalist-cartoon-flat-colors-black-outline.jpeg</t>
  </si>
  <si>
    <t>How to Choose the Right Engineered Wood</t>
  </si>
  <si>
    <t>8 Types for Every Project</t>
  </si>
  <si>
    <t>build</t>
  </si>
  <si>
    <t>distinct-wooden-tile-samples-neatly-arranged-each-tile-has-a-unique-grain-or-color-pattern.jpeg</t>
  </si>
  <si>
    <t>#7FA88A</t>
  </si>
  <si>
    <t>Choosing the right wood board can make or break your project. Literally. Engineered boards like plywood, MDF, and particle board may look similar in the store, but they behave very differently when you start cutting, screwing, or finishing them. This guide breaks down eight common types of engineered wood with real-world pros, cons, cost, and ease of use. Whether you're a DIY beginner or seasoned woodworker, you'll know exactly what to pick for your next project.</t>
  </si>
  <si>
    <t>The One Small Accomplishment Rule</t>
  </si>
  <si>
    <t>cheerful-plant-in-cracked-pot-with-big-eyes-and-exposed-roots-next-to-clean-new-pot-tiny-trowel-and-fresh-soil-minimalistic-cartoon-style.jpeg</t>
  </si>
  <si>
    <t>How to Pot or Re-pot a Plant</t>
  </si>
  <si>
    <t>gardening</t>
  </si>
  <si>
    <t>In pots, plants can't rely on nature to do the heavy lifting. Soil gets stale, roots hit walls, and hidden pests can cause damage. Repotting mimics the natural cycle, refreshing soil, renewing nutrients, and giving roots space to grow strong. It’s one of the simplest ways to keep your plants thriving, disease-free, and growing beautifully, even in a contained space.</t>
  </si>
  <si>
    <t>#E1C3F9</t>
  </si>
  <si>
    <t>Common Electrical Disasters</t>
  </si>
  <si>
    <t>A Minimalist's Guide to Electrical Wiring</t>
  </si>
  <si>
    <t>A Minimalist’s Guide to Plant Care</t>
  </si>
  <si>
    <t>overheated-power-socket-with-smoke-electrical-safety-cartoon-flat-minimal-style.jpeg</t>
  </si>
  <si>
    <t>#FDE8CB</t>
  </si>
  <si>
    <t>Electrical issues like melting plugs and tripping breakers often start small but can lead to serious hazards. This simple, beginner-friendly guide explains common wiring mistakes and how to prevent them using practical tips for a safer home setup.</t>
  </si>
  <si>
    <t>How to Choose the Right Indoor Plants</t>
  </si>
  <si>
    <t>A Room-by-Room Guide to Greenery</t>
  </si>
  <si>
    <t>#A5C4D8</t>
  </si>
  <si>
    <t>indoor-room-setup-with-potted-plants-on-windowsill-shelf-and-floor-in-cartoon-style.jpeg</t>
  </si>
  <si>
    <t>Indoor plants do more than decorate. They purify the air, soften edges, and bring calm energy into a room. This guide offers a practical approach to selecting plants that match each space’s unique light, moisture, and layout. With a basic understanding of plant behavior and room conditions, it becomes easier to create lasting, beautiful indoor greenery.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</si>
</sst>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5">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0" fillId="3" borderId="0" xfId="0" applyFill="1"/>
    <xf numFmtId="0" fontId="1" fillId="2" borderId="1" xfId="0" applyFont="1" applyFill="1" applyBorder="1"/>
    <xf numFmtId="164" fontId="1" fillId="2" borderId="1" xfId="0" applyNumberFormat="1" applyFont="1" applyFill="1" applyBorder="1"/>
    <xf numFmtId="0" fontId="0" fillId="3" borderId="1" xfId="0" applyFill="1" applyBorder="1"/>
    <xf numFmtId="164" fontId="0" fillId="3" borderId="1" xfId="0" applyNumberFormat="1" applyFill="1" applyBorder="1"/>
    <xf numFmtId="0" fontId="0" fillId="0" borderId="1" xfId="0" applyBorder="1"/>
    <xf numFmtId="164" fontId="0" fillId="0" borderId="1" xfId="0" applyNumberFormat="1" applyBorder="1"/>
    <xf numFmtId="0" fontId="0" fillId="4" borderId="0" xfId="0" applyFill="1"/>
    <xf numFmtId="0" fontId="0" fillId="4" borderId="1" xfId="0" applyFill="1" applyBorder="1"/>
    <xf numFmtId="164" fontId="0" fillId="4" borderId="1" xfId="0" applyNumberFormat="1" applyFill="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36"/>
  <sheetViews>
    <sheetView tabSelected="1" topLeftCell="A7" workbookViewId="0">
      <selection activeCell="C20" sqref="C20"/>
    </sheetView>
  </sheetViews>
  <sheetFormatPr defaultRowHeight="14.5" x14ac:dyDescent="0.35"/>
  <cols>
    <col min="1" max="1" width="2.81640625" bestFit="1" customWidth="1"/>
    <col min="2" max="3" width="30.81640625" customWidth="1"/>
    <col min="5" max="5" width="21.453125" customWidth="1"/>
    <col min="7" max="7" width="57.26953125" customWidth="1"/>
    <col min="8" max="8" width="32.54296875" customWidth="1"/>
    <col min="9" max="9" width="10.453125" customWidth="1"/>
    <col min="10" max="13" width="10.1796875" style="3" bestFit="1" customWidth="1"/>
    <col min="14" max="14" width="12.81640625" bestFit="1" customWidth="1"/>
  </cols>
  <sheetData>
    <row r="1" spans="1:14" x14ac:dyDescent="0.35">
      <c r="A1" s="5" t="s">
        <v>0</v>
      </c>
      <c r="B1" s="5" t="s">
        <v>1</v>
      </c>
      <c r="C1" s="5" t="s">
        <v>72</v>
      </c>
      <c r="D1" s="5" t="s">
        <v>2</v>
      </c>
      <c r="E1" s="5" t="s">
        <v>18</v>
      </c>
      <c r="F1" s="5" t="s">
        <v>3</v>
      </c>
      <c r="G1" s="5" t="s">
        <v>4</v>
      </c>
      <c r="H1" s="5" t="s">
        <v>17</v>
      </c>
      <c r="I1" s="5" t="s">
        <v>19</v>
      </c>
      <c r="J1" s="6" t="s">
        <v>67</v>
      </c>
      <c r="K1" s="6" t="s">
        <v>68</v>
      </c>
      <c r="L1" s="6" t="s">
        <v>50</v>
      </c>
      <c r="M1" s="6" t="s">
        <v>66</v>
      </c>
      <c r="N1" s="6" t="s">
        <v>71</v>
      </c>
    </row>
    <row r="2" spans="1:14" s="4" customFormat="1" x14ac:dyDescent="0.35">
      <c r="A2" s="7">
        <v>1</v>
      </c>
      <c r="B2" s="7" t="s">
        <v>38</v>
      </c>
      <c r="C2" s="7" t="s">
        <v>93</v>
      </c>
      <c r="D2" s="7" t="s">
        <v>51</v>
      </c>
      <c r="E2" s="7" t="s">
        <v>55</v>
      </c>
      <c r="F2" s="7" t="s">
        <v>97</v>
      </c>
      <c r="G2" s="7" t="s">
        <v>39</v>
      </c>
      <c r="H2" s="7" t="str">
        <f>LOWER(SUBSTITUTE(SUBSTITUTE(SUBSTITUTE(SUBSTITUTE(SUBSTITUTE(SUBSTITUTE(CONCATENATE(B2, C2), " ", "-"), ":", "-"), ";", "-"), ",", "-"), ".", "-"), "/", "-"))</f>
        <v>the-art-of-minimalism-in-modern-designtransforming-spaces</v>
      </c>
      <c r="I2" s="7" t="str">
        <f>SUBSTITUTE(SUBSTITUTE(E2, "-", " "), ".", " ")</f>
        <v>cartoon illustration of burger filled with onion lettuce meat patty cheese with teal background jpeg</v>
      </c>
      <c r="J2" s="8" t="b">
        <v>0</v>
      </c>
      <c r="K2" s="8" t="b">
        <v>1</v>
      </c>
      <c r="L2" s="8">
        <v>45576</v>
      </c>
      <c r="M2" s="8">
        <v>45566</v>
      </c>
      <c r="N2" s="8" t="b">
        <v>0</v>
      </c>
    </row>
    <row r="3" spans="1:14" s="4" customFormat="1" x14ac:dyDescent="0.35">
      <c r="A3" s="7">
        <f>A2+1</f>
        <v>2</v>
      </c>
      <c r="B3" s="7" t="s">
        <v>91</v>
      </c>
      <c r="C3" s="7" t="s">
        <v>92</v>
      </c>
      <c r="D3" s="7" t="s">
        <v>52</v>
      </c>
      <c r="E3" s="7" t="s">
        <v>63</v>
      </c>
      <c r="F3" s="7" t="s">
        <v>64</v>
      </c>
      <c r="G3" s="7" t="s">
        <v>40</v>
      </c>
      <c r="H3" s="7" t="str">
        <f t="shared" ref="H3:H11" si="0">LOWER(SUBSTITUTE(SUBSTITUTE(SUBSTITUTE(SUBSTITUTE(SUBSTITUTE(SUBSTITUTE(CONCATENATE(B3, C3), " ", "-"), ":", "-"), ";", "-"), ",", "-"), ".", "-"), "/", "-"))</f>
        <v>the-future-of-smart-homeintegrating-technology-for-a-seamless-lifestyle</v>
      </c>
      <c r="I3" s="7" t="str">
        <f t="shared" ref="I3:I19" si="1">SUBSTITUTE(SUBSTITUTE(E3, "-", " "), ".", " ")</f>
        <v>cartoon illustration of windows laptop with grey background jpeg</v>
      </c>
      <c r="J3" s="8" t="b">
        <v>0</v>
      </c>
      <c r="K3" s="8" t="b">
        <v>1</v>
      </c>
      <c r="L3" s="8">
        <v>45576</v>
      </c>
      <c r="M3" s="8">
        <v>45568</v>
      </c>
      <c r="N3" s="8" t="b">
        <v>0</v>
      </c>
    </row>
    <row r="4" spans="1:14" s="4" customFormat="1" x14ac:dyDescent="0.35">
      <c r="A4" s="7">
        <f t="shared" ref="A4:A11" si="2">A3+1</f>
        <v>3</v>
      </c>
      <c r="B4" s="7" t="s">
        <v>88</v>
      </c>
      <c r="C4" s="7" t="s">
        <v>89</v>
      </c>
      <c r="D4" s="7" t="s">
        <v>51</v>
      </c>
      <c r="E4" s="7" t="s">
        <v>60</v>
      </c>
      <c r="F4" s="7" t="s">
        <v>59</v>
      </c>
      <c r="G4" s="7" t="s">
        <v>41</v>
      </c>
      <c r="H4" s="7" t="str">
        <f t="shared" si="0"/>
        <v>dive-into-the-world-of-diy-furniturebuilding-using-reclaimed-wood</v>
      </c>
      <c r="I4" s="7" t="str">
        <f t="shared" si="1"/>
        <v>cartoon illustration of simple small pond surounded by trees and rocks with mild blue background  jpeg</v>
      </c>
      <c r="J4" s="8" t="b">
        <v>0</v>
      </c>
      <c r="K4" s="8" t="b">
        <v>1</v>
      </c>
      <c r="L4" s="8">
        <v>45576</v>
      </c>
      <c r="M4" s="8">
        <v>45568</v>
      </c>
      <c r="N4" s="8" t="b">
        <v>0</v>
      </c>
    </row>
    <row r="5" spans="1:14" s="4" customFormat="1" x14ac:dyDescent="0.35">
      <c r="A5" s="7">
        <f t="shared" si="2"/>
        <v>4</v>
      </c>
      <c r="B5" s="7" t="s">
        <v>87</v>
      </c>
      <c r="C5" s="7" t="s">
        <v>90</v>
      </c>
      <c r="D5" s="7" t="s">
        <v>51</v>
      </c>
      <c r="E5" s="7" t="s">
        <v>57</v>
      </c>
      <c r="F5" s="7" t="s">
        <v>58</v>
      </c>
      <c r="G5" s="7" t="s">
        <v>42</v>
      </c>
      <c r="H5" s="7" t="str">
        <f t="shared" si="0"/>
        <v>simplifying-your-lifethe-power-of-decluttering</v>
      </c>
      <c r="I5" s="7" t="str">
        <f t="shared" si="1"/>
        <v>cartoon illustration of gray dslr style camera with mild orange background jpeg</v>
      </c>
      <c r="J5" s="8" t="b">
        <v>0</v>
      </c>
      <c r="K5" s="8" t="b">
        <v>1</v>
      </c>
      <c r="L5" s="8">
        <v>45576</v>
      </c>
      <c r="M5" s="8">
        <v>45568</v>
      </c>
      <c r="N5" s="8" t="b">
        <v>0</v>
      </c>
    </row>
    <row r="6" spans="1:14" s="4" customFormat="1" x14ac:dyDescent="0.35">
      <c r="A6" s="7">
        <f t="shared" si="2"/>
        <v>5</v>
      </c>
      <c r="B6" s="7" t="s">
        <v>85</v>
      </c>
      <c r="C6" s="7" t="s">
        <v>86</v>
      </c>
      <c r="D6" s="7" t="s">
        <v>51</v>
      </c>
      <c r="E6" s="7" t="s">
        <v>56</v>
      </c>
      <c r="F6" s="7" t="s">
        <v>96</v>
      </c>
      <c r="G6" s="7" t="s">
        <v>43</v>
      </c>
      <c r="H6" s="7" t="str">
        <f t="shared" si="0"/>
        <v>the-joy-of-creatingfinding-your-artistic-voice</v>
      </c>
      <c r="I6" s="7" t="str">
        <f t="shared" si="1"/>
        <v>cartoon illustration of coding themed image featuring git like logo command line interface with skyblue background jpeg</v>
      </c>
      <c r="J6" s="8" t="b">
        <v>0</v>
      </c>
      <c r="K6" s="8" t="b">
        <v>1</v>
      </c>
      <c r="L6" s="8">
        <v>45576</v>
      </c>
      <c r="M6" s="8">
        <v>45572</v>
      </c>
      <c r="N6" s="8" t="b">
        <v>0</v>
      </c>
    </row>
    <row r="7" spans="1:14" s="4" customFormat="1" x14ac:dyDescent="0.35">
      <c r="A7" s="7">
        <f t="shared" si="2"/>
        <v>6</v>
      </c>
      <c r="B7" s="7" t="s">
        <v>83</v>
      </c>
      <c r="C7" s="7" t="s">
        <v>84</v>
      </c>
      <c r="D7" s="7" t="s">
        <v>51</v>
      </c>
      <c r="E7" s="7" t="s">
        <v>49</v>
      </c>
      <c r="F7" s="7" t="s">
        <v>53</v>
      </c>
      <c r="G7" s="7" t="s">
        <v>44</v>
      </c>
      <c r="H7" s="7" t="str">
        <f t="shared" si="0"/>
        <v>nourishing-simplicitywholesome-recipes-for-busy-lives</v>
      </c>
      <c r="I7" s="7" t="str">
        <f t="shared" si="1"/>
        <v>cartoon illustration of small pond with lillypads and lotus in the middle surrounded by stones and plants with lavender background jpeg</v>
      </c>
      <c r="J7" s="8" t="b">
        <v>0</v>
      </c>
      <c r="K7" s="8" t="b">
        <v>1</v>
      </c>
      <c r="L7" s="8">
        <v>45576</v>
      </c>
      <c r="M7" s="8">
        <v>45572</v>
      </c>
      <c r="N7" s="8" t="b">
        <v>0</v>
      </c>
    </row>
    <row r="8" spans="1:14" s="4" customFormat="1" x14ac:dyDescent="0.35">
      <c r="A8" s="7">
        <f t="shared" si="2"/>
        <v>7</v>
      </c>
      <c r="B8" s="7" t="s">
        <v>81</v>
      </c>
      <c r="C8" s="7" t="s">
        <v>82</v>
      </c>
      <c r="D8" s="7" t="s">
        <v>52</v>
      </c>
      <c r="E8" s="7" t="s">
        <v>61</v>
      </c>
      <c r="F8" s="7" t="s">
        <v>62</v>
      </c>
      <c r="G8" s="7" t="s">
        <v>45</v>
      </c>
      <c r="H8" s="7" t="str">
        <f t="shared" si="0"/>
        <v>best-practices-for-clean-programmingstreamlining-your-code</v>
      </c>
      <c r="I8" s="7" t="str">
        <f t="shared" si="1"/>
        <v>cartoon illustration of smartphone homepage filled with app icons surrounded by random icons with yellow background jpeg</v>
      </c>
      <c r="J8" s="8" t="b">
        <v>0</v>
      </c>
      <c r="K8" s="8" t="b">
        <v>1</v>
      </c>
      <c r="L8" s="8">
        <v>45576</v>
      </c>
      <c r="M8" s="8">
        <v>45572</v>
      </c>
      <c r="N8" s="8" t="b">
        <v>0</v>
      </c>
    </row>
    <row r="9" spans="1:14" s="4" customFormat="1" x14ac:dyDescent="0.35">
      <c r="A9" s="7">
        <f t="shared" si="2"/>
        <v>8</v>
      </c>
      <c r="B9" s="7" t="s">
        <v>80</v>
      </c>
      <c r="C9" s="7" t="s">
        <v>79</v>
      </c>
      <c r="D9" s="7" t="s">
        <v>51</v>
      </c>
      <c r="E9" s="7" t="s">
        <v>54</v>
      </c>
      <c r="F9" s="7" t="s">
        <v>65</v>
      </c>
      <c r="G9" s="7" t="s">
        <v>46</v>
      </c>
      <c r="H9" s="7" t="str">
        <f>LOWER(SUBSTITUTE(SUBSTITUTE(SUBSTITUTE(SUBSTITUTE(SUBSTITUTE(SUBSTITUTE(CONCATENATE(B9, C9), " ", "-"), ":", "-"), ";", "-"), ",", "-"), ".", "-"), "/", "-"))</f>
        <v>functional-furniture-from-reclaimed-wooddiy-projects</v>
      </c>
      <c r="I9" s="7" t="str">
        <f t="shared" si="1"/>
        <v>cardtoon style 3d minimalistic retro style app inside a phone surrounded by minimalists objects with green background jpeg</v>
      </c>
      <c r="J9" s="8" t="b">
        <v>0</v>
      </c>
      <c r="K9" s="8" t="b">
        <v>0</v>
      </c>
      <c r="L9" s="8">
        <v>45576</v>
      </c>
      <c r="M9" s="8">
        <v>45576</v>
      </c>
      <c r="N9" s="8" t="b">
        <v>0</v>
      </c>
    </row>
    <row r="10" spans="1:14" s="4" customFormat="1" x14ac:dyDescent="0.35">
      <c r="A10" s="7">
        <f t="shared" si="2"/>
        <v>9</v>
      </c>
      <c r="B10" s="7" t="s">
        <v>77</v>
      </c>
      <c r="C10" s="7" t="s">
        <v>78</v>
      </c>
      <c r="D10" s="7" t="s">
        <v>52</v>
      </c>
      <c r="E10" s="7" t="s">
        <v>57</v>
      </c>
      <c r="F10" s="7" t="s">
        <v>58</v>
      </c>
      <c r="G10" s="7" t="s">
        <v>47</v>
      </c>
      <c r="H10" s="7" t="str">
        <f t="shared" si="0"/>
        <v>gardening-for-beginnerscultivating-a-sustainable-home-garden</v>
      </c>
      <c r="I10" s="7" t="str">
        <f t="shared" si="1"/>
        <v>cartoon illustration of gray dslr style camera with mild orange background jpeg</v>
      </c>
      <c r="J10" s="8" t="b">
        <v>0</v>
      </c>
      <c r="K10" s="8" t="b">
        <v>0</v>
      </c>
      <c r="L10" s="8">
        <v>45576</v>
      </c>
      <c r="M10" s="8">
        <v>45576</v>
      </c>
      <c r="N10" s="8" t="b">
        <v>0</v>
      </c>
    </row>
    <row r="11" spans="1:14" s="4" customFormat="1" x14ac:dyDescent="0.35">
      <c r="A11" s="7">
        <f t="shared" si="2"/>
        <v>10</v>
      </c>
      <c r="B11" s="7" t="s">
        <v>75</v>
      </c>
      <c r="C11" s="7" t="s">
        <v>76</v>
      </c>
      <c r="D11" s="7" t="s">
        <v>52</v>
      </c>
      <c r="E11" s="7" t="s">
        <v>94</v>
      </c>
      <c r="F11" s="7" t="s">
        <v>95</v>
      </c>
      <c r="G11" s="7" t="s">
        <v>48</v>
      </c>
      <c r="H11" s="7" t="str">
        <f t="shared" si="0"/>
        <v>understanding-pet-behaviorbuilding-a-stronger-bond-with-your-furry-friends</v>
      </c>
      <c r="I11" s="7" t="str">
        <f t="shared" si="1"/>
        <v>kid petting a dog with yellow background jpeg</v>
      </c>
      <c r="J11" s="8" t="b">
        <v>0</v>
      </c>
      <c r="K11" s="8" t="b">
        <v>0</v>
      </c>
      <c r="L11" s="8">
        <v>45576</v>
      </c>
      <c r="M11" s="8">
        <v>45576</v>
      </c>
      <c r="N11" s="8" t="b">
        <v>0</v>
      </c>
    </row>
    <row r="12" spans="1:14" x14ac:dyDescent="0.35">
      <c r="A12" s="9">
        <v>11</v>
      </c>
      <c r="B12" s="9" t="s">
        <v>73</v>
      </c>
      <c r="C12" s="9" t="s">
        <v>74</v>
      </c>
      <c r="D12" s="9" t="s">
        <v>52</v>
      </c>
      <c r="E12" s="9" t="s">
        <v>70</v>
      </c>
      <c r="F12" s="9" t="s">
        <v>98</v>
      </c>
      <c r="G12" s="9" t="s">
        <v>69</v>
      </c>
      <c r="H12" s="9" t="str">
        <f>LOWER(SUBSTITUTE(SUBSTITUTE(SUBSTITUTE(SUBSTITUTE(SUBSTITUTE(SUBSTITUTE(CONCATENATE(B12, "-", C12), " ", "-"), ":", "-"), ";", "-"), ",", "-"), ".", "-"), "/", "-"))</f>
        <v>add-tailwind-css-to-next-js-quickly-in-4-steps</v>
      </c>
      <c r="I12" s="9" t="str">
        <f t="shared" si="1"/>
        <v>minimalistic cartoon style laptop nextjs app tailwindcss color swatches code snippets black outline jpeg</v>
      </c>
      <c r="J12" s="10" t="b">
        <v>0</v>
      </c>
      <c r="K12" s="10" t="b">
        <v>0</v>
      </c>
      <c r="L12" s="10">
        <v>45581</v>
      </c>
      <c r="M12" s="10">
        <v>45581</v>
      </c>
      <c r="N12" s="10" t="b">
        <v>0</v>
      </c>
    </row>
    <row r="13" spans="1:14" s="11" customFormat="1" x14ac:dyDescent="0.35">
      <c r="A13" s="12">
        <v>12</v>
      </c>
      <c r="B13" s="12" t="s">
        <v>100</v>
      </c>
      <c r="C13" s="12" t="s">
        <v>101</v>
      </c>
      <c r="D13" s="9" t="s">
        <v>52</v>
      </c>
      <c r="E13" s="12" t="s">
        <v>103</v>
      </c>
      <c r="F13" s="12" t="s">
        <v>102</v>
      </c>
      <c r="G13" s="12" t="s">
        <v>104</v>
      </c>
      <c r="H13" s="9" t="str">
        <f>LOWER(SUBSTITUTE(SUBSTITUTE(SUBSTITUTE(SUBSTITUTE(SUBSTITUTE(SUBSTITUTE(CONCATENATE(B13, "-", C13), " ", "-"), ":", "-"), ";", "-"), ",", "-"), ".", "-"), "/", "-"))</f>
        <v>ssh--putty--and-winscp-the-ultimate-guide-to-remote-server-management</v>
      </c>
      <c r="I13" s="9" t="str">
        <f>SUBSTITUTE(SUBSTITUTE(E13, "-", " "), ".", " ")</f>
        <v>laptop linked to cloud server with flat backgroud and black outline cartoon jpeg</v>
      </c>
      <c r="J13" s="10" t="b">
        <v>1</v>
      </c>
      <c r="K13" s="10" t="b">
        <v>0</v>
      </c>
      <c r="L13" s="13">
        <v>45648</v>
      </c>
      <c r="M13" s="13">
        <v>45648</v>
      </c>
      <c r="N13" s="10" t="b">
        <v>0</v>
      </c>
    </row>
    <row r="14" spans="1:14" x14ac:dyDescent="0.35">
      <c r="A14" s="9">
        <v>13</v>
      </c>
      <c r="B14" s="9" t="s">
        <v>105</v>
      </c>
      <c r="C14" s="12" t="s">
        <v>106</v>
      </c>
      <c r="D14" s="9" t="s">
        <v>107</v>
      </c>
      <c r="E14" s="12" t="s">
        <v>109</v>
      </c>
      <c r="F14" s="12" t="s">
        <v>110</v>
      </c>
      <c r="G14" s="12" t="s">
        <v>108</v>
      </c>
      <c r="H14" s="9" t="str">
        <f>LOWER(SUBSTITUTE(SUBSTITUTE(SUBSTITUTE(SUBSTITUTE(SUBSTITUTE(SUBSTITUTE(CONCATENATE(B14, "-", C14), " ", "-"), ":", "-"), ";", "-"), ",", "-"), ".", "-"), "/", "-"))</f>
        <v>dal-‘n-spinach-a-simple-vegan-comfort-curry</v>
      </c>
      <c r="I14" s="9" t="str">
        <f t="shared" si="1"/>
        <v>minimalist cartoon style illustration blended yellow dal shredded spinach cilantro garnish fine dining plating flat colors black outlines top down view jpeg</v>
      </c>
      <c r="J14" s="10" t="b">
        <v>1</v>
      </c>
      <c r="K14" s="10" t="b">
        <v>0</v>
      </c>
      <c r="L14" s="10">
        <v>45733</v>
      </c>
      <c r="M14" s="10">
        <v>45733</v>
      </c>
      <c r="N14" s="10" t="b">
        <v>0</v>
      </c>
    </row>
    <row r="15" spans="1:14" x14ac:dyDescent="0.35">
      <c r="A15" s="9">
        <v>14</v>
      </c>
      <c r="B15" s="9" t="s">
        <v>122</v>
      </c>
      <c r="C15" s="9" t="s">
        <v>113</v>
      </c>
      <c r="D15" s="9" t="s">
        <v>112</v>
      </c>
      <c r="E15" s="9" t="s">
        <v>115</v>
      </c>
      <c r="F15" s="9" t="s">
        <v>111</v>
      </c>
      <c r="G15" s="9" t="s">
        <v>114</v>
      </c>
      <c r="H15" s="9" t="str">
        <f>LOWER(SUBSTITUTE(SUBSTITUTE(SUBSTITUTE(SUBSTITUTE(SUBSTITUTE(SUBSTITUTE(CONCATENATE(B15, "-", C15), " ", "-"), ":", "-"), ";", "-"), ",", "-"), ".", "-"), "/", "-"))</f>
        <v>the-one-small-accomplishment-rule-how-to-get-more-done-without-burnout</v>
      </c>
      <c r="I15" s="9" t="str">
        <f t="shared" si="1"/>
        <v>single open notebook with pen and checkbox minimalist cartoon flat colors black outline jpeg</v>
      </c>
      <c r="J15" s="10" t="b">
        <v>1</v>
      </c>
      <c r="K15" s="10" t="b">
        <v>0</v>
      </c>
      <c r="L15" s="10">
        <v>45748</v>
      </c>
      <c r="M15" s="10">
        <v>45748</v>
      </c>
      <c r="N15" s="10" t="b">
        <v>0</v>
      </c>
    </row>
    <row r="16" spans="1:14" x14ac:dyDescent="0.35">
      <c r="A16" s="9">
        <v>15</v>
      </c>
      <c r="B16" s="9" t="s">
        <v>116</v>
      </c>
      <c r="C16" s="9" t="s">
        <v>117</v>
      </c>
      <c r="D16" s="9" t="s">
        <v>118</v>
      </c>
      <c r="E16" s="9" t="s">
        <v>119</v>
      </c>
      <c r="F16" s="9" t="s">
        <v>120</v>
      </c>
      <c r="G16" s="9" t="s">
        <v>121</v>
      </c>
      <c r="H16" s="9" t="str">
        <f>LOWER(SUBSTITUTE(SUBSTITUTE(SUBSTITUTE(SUBSTITUTE(SUBSTITUTE(SUBSTITUTE(CONCATENATE(B16, "-", C16), " ", "-"), ":", "-"), ";", "-"), ",", "-"), ".", "-"), "/", "-"))</f>
        <v>how-to-choose-the-right-engineered-wood-8-types-for-every-project</v>
      </c>
      <c r="I16" s="9" t="str">
        <f t="shared" si="1"/>
        <v>distinct wooden tile samples neatly arranged each tile has a unique grain or color pattern jpeg</v>
      </c>
      <c r="J16" s="10" t="b">
        <v>1</v>
      </c>
      <c r="K16" s="10" t="b">
        <v>0</v>
      </c>
      <c r="L16" s="10">
        <v>45753</v>
      </c>
      <c r="M16" s="10">
        <v>45753</v>
      </c>
      <c r="N16" s="10" t="b">
        <v>0</v>
      </c>
    </row>
    <row r="17" spans="1:14" x14ac:dyDescent="0.35">
      <c r="A17" s="9">
        <v>16</v>
      </c>
      <c r="B17" s="9" t="s">
        <v>124</v>
      </c>
      <c r="C17" s="9" t="s">
        <v>130</v>
      </c>
      <c r="D17" s="9" t="s">
        <v>125</v>
      </c>
      <c r="E17" s="9" t="s">
        <v>123</v>
      </c>
      <c r="F17" s="9" t="s">
        <v>127</v>
      </c>
      <c r="G17" s="9" t="s">
        <v>126</v>
      </c>
      <c r="H17" s="9" t="str">
        <f>LOWER(SUBSTITUTE(SUBSTITUTE(SUBSTITUTE(SUBSTITUTE(SUBSTITUTE(SUBSTITUTE(CONCATENATE(B17, "-", C17), " ", "-"), ":", "-"), ";", "-"), ",", "-"), ".", "-"), "/", "-"))</f>
        <v>how-to-pot-or-re-pot-a-plant-a-minimalist’s-guide-to-plant-care</v>
      </c>
      <c r="I17" s="9" t="str">
        <f t="shared" si="1"/>
        <v>cheerful plant in cracked pot with big eyes and exposed roots next to clean new pot tiny trowel and fresh soil minimalistic cartoon style jpeg</v>
      </c>
      <c r="J17" s="10" t="b">
        <v>1</v>
      </c>
      <c r="K17" s="10" t="b">
        <v>0</v>
      </c>
      <c r="L17" s="10">
        <v>45753</v>
      </c>
      <c r="M17" s="10">
        <v>45753</v>
      </c>
      <c r="N17" s="10" t="b">
        <v>1</v>
      </c>
    </row>
    <row r="18" spans="1:14" x14ac:dyDescent="0.35">
      <c r="A18" s="9">
        <v>17</v>
      </c>
      <c r="B18" s="9" t="s">
        <v>128</v>
      </c>
      <c r="C18" s="9" t="s">
        <v>129</v>
      </c>
      <c r="D18" s="9" t="s">
        <v>118</v>
      </c>
      <c r="E18" s="9" t="s">
        <v>131</v>
      </c>
      <c r="F18" s="9" t="s">
        <v>132</v>
      </c>
      <c r="G18" s="9" t="s">
        <v>133</v>
      </c>
      <c r="H18" s="9" t="str">
        <f>LOWER(SUBSTITUTE(SUBSTITUTE(SUBSTITUTE(SUBSTITUTE(SUBSTITUTE(SUBSTITUTE(CONCATENATE(B18, "-", C18), " ", "-"), ":", "-"), ";", "-"), ",", "-"), ".", "-"), "/", "-"))</f>
        <v>common-electrical-disasters-a-minimalist's-guide-to-electrical-wiring</v>
      </c>
      <c r="I18" s="9" t="str">
        <f t="shared" si="1"/>
        <v>overheated power socket with smoke electrical safety cartoon flat minimal style jpeg</v>
      </c>
      <c r="J18" s="10" t="b">
        <v>1</v>
      </c>
      <c r="K18" s="10" t="b">
        <v>0</v>
      </c>
      <c r="L18" s="10">
        <v>45753</v>
      </c>
      <c r="M18" s="10">
        <v>45753</v>
      </c>
      <c r="N18" s="10" t="b">
        <v>1</v>
      </c>
    </row>
    <row r="19" spans="1:14" x14ac:dyDescent="0.35">
      <c r="A19" s="9">
        <v>18</v>
      </c>
      <c r="B19" s="9" t="s">
        <v>134</v>
      </c>
      <c r="C19" s="9" t="s">
        <v>135</v>
      </c>
      <c r="D19" s="9" t="s">
        <v>125</v>
      </c>
      <c r="E19" s="9" t="s">
        <v>137</v>
      </c>
      <c r="F19" s="9" t="s">
        <v>136</v>
      </c>
      <c r="G19" s="9" t="s">
        <v>138</v>
      </c>
      <c r="H19" s="9" t="str">
        <f>LOWER(SUBSTITUTE(SUBSTITUTE(SUBSTITUTE(SUBSTITUTE(SUBSTITUTE(SUBSTITUTE(CONCATENATE(B19, "-", C19), " ", "-"), ":", "-"), ";", "-"), ",", "-"), ".", "-"), "/", "-"))</f>
        <v>how-to-choose-the-right-indoor-plants-a-room-by-room-guide-to-greenery</v>
      </c>
      <c r="I19" s="9" t="str">
        <f t="shared" si="1"/>
        <v>indoor room setup with potted plants on windowsill shelf and floor in cartoon style jpeg</v>
      </c>
      <c r="J19" s="10" t="b">
        <v>1</v>
      </c>
      <c r="K19" s="10" t="b">
        <v>0</v>
      </c>
      <c r="L19" s="10">
        <v>45754</v>
      </c>
      <c r="M19" s="10">
        <v>45754</v>
      </c>
      <c r="N19" s="10" t="b">
        <v>1</v>
      </c>
    </row>
    <row r="20" spans="1:14" x14ac:dyDescent="0.35">
      <c r="A20" s="9"/>
      <c r="B20" s="9"/>
      <c r="C20" s="9"/>
      <c r="D20" s="9"/>
      <c r="E20" s="9"/>
      <c r="F20" s="9"/>
      <c r="G20" s="9"/>
      <c r="H20" s="9"/>
      <c r="I20" s="9"/>
      <c r="J20" s="10"/>
      <c r="K20" s="10"/>
      <c r="L20" s="10"/>
      <c r="M20" s="10"/>
      <c r="N20" s="9"/>
    </row>
    <row r="21" spans="1:14" x14ac:dyDescent="0.35">
      <c r="A21" s="9"/>
      <c r="B21" s="9"/>
      <c r="C21" s="9"/>
      <c r="D21" s="9"/>
      <c r="E21" s="9"/>
      <c r="F21" s="9"/>
      <c r="G21" s="9"/>
      <c r="H21" s="9"/>
      <c r="I21" s="9"/>
      <c r="J21" s="10"/>
      <c r="K21" s="10"/>
      <c r="L21" s="10"/>
      <c r="M21" s="10"/>
      <c r="N21" s="9"/>
    </row>
    <row r="22" spans="1:14" x14ac:dyDescent="0.35">
      <c r="A22" s="9"/>
      <c r="B22" s="9"/>
      <c r="C22" s="9"/>
      <c r="D22" s="9"/>
      <c r="E22" s="9"/>
      <c r="F22" s="9"/>
      <c r="G22" s="9"/>
      <c r="H22" s="9"/>
      <c r="I22" s="9"/>
      <c r="J22" s="10"/>
      <c r="K22" s="10"/>
      <c r="L22" s="10"/>
      <c r="M22" s="10"/>
      <c r="N22" s="9"/>
    </row>
    <row r="23" spans="1:14" x14ac:dyDescent="0.35">
      <c r="A23" s="9"/>
      <c r="B23" s="9"/>
      <c r="C23" s="9"/>
      <c r="D23" s="9"/>
      <c r="E23" s="9"/>
      <c r="F23" s="9"/>
      <c r="G23" s="9"/>
      <c r="H23" s="9"/>
      <c r="I23" s="9"/>
      <c r="J23" s="10"/>
      <c r="K23" s="10"/>
      <c r="L23" s="10"/>
      <c r="M23" s="10"/>
      <c r="N23" s="9"/>
    </row>
    <row r="24" spans="1:14" x14ac:dyDescent="0.35">
      <c r="A24" s="9"/>
      <c r="B24" s="9"/>
      <c r="C24" s="9"/>
      <c r="D24" s="9"/>
      <c r="E24" s="9"/>
      <c r="F24" s="9"/>
      <c r="G24" s="9"/>
      <c r="H24" s="9"/>
      <c r="I24" s="9"/>
      <c r="J24" s="10"/>
      <c r="K24" s="10"/>
      <c r="L24" s="10"/>
      <c r="M24" s="10"/>
      <c r="N24" s="9"/>
    </row>
    <row r="25" spans="1:14" x14ac:dyDescent="0.35">
      <c r="A25" s="9"/>
      <c r="B25" s="9"/>
      <c r="C25" s="9"/>
      <c r="D25" s="9"/>
      <c r="E25" s="9"/>
      <c r="F25" s="9"/>
      <c r="G25" s="9"/>
      <c r="H25" s="9"/>
      <c r="I25" s="9"/>
      <c r="J25" s="10"/>
      <c r="K25" s="10"/>
      <c r="L25" s="10"/>
      <c r="M25" s="10"/>
      <c r="N25" s="9"/>
    </row>
    <row r="26" spans="1:14" x14ac:dyDescent="0.35">
      <c r="A26" s="9"/>
      <c r="B26" s="9"/>
      <c r="C26" s="9"/>
      <c r="D26" s="9"/>
      <c r="E26" s="9"/>
      <c r="F26" s="9"/>
      <c r="G26" s="9"/>
      <c r="H26" s="9"/>
      <c r="I26" s="9"/>
      <c r="J26" s="10"/>
      <c r="K26" s="10"/>
      <c r="L26" s="10"/>
      <c r="M26" s="10"/>
      <c r="N26" s="9"/>
    </row>
    <row r="27" spans="1:14" x14ac:dyDescent="0.35">
      <c r="A27" s="9"/>
      <c r="B27" s="9"/>
      <c r="C27" s="9"/>
      <c r="D27" s="9"/>
      <c r="E27" s="9"/>
      <c r="F27" s="9"/>
      <c r="G27" s="9"/>
      <c r="H27" s="9"/>
      <c r="I27" s="9"/>
      <c r="J27" s="10"/>
      <c r="K27" s="10"/>
      <c r="L27" s="10"/>
      <c r="M27" s="10"/>
      <c r="N27" s="9"/>
    </row>
    <row r="28" spans="1:14" x14ac:dyDescent="0.35">
      <c r="A28" s="9"/>
      <c r="B28" s="9"/>
      <c r="C28" s="9"/>
      <c r="D28" s="9"/>
      <c r="E28" s="9"/>
      <c r="F28" s="9"/>
      <c r="G28" s="9"/>
      <c r="H28" s="9"/>
      <c r="I28" s="9"/>
      <c r="J28" s="10"/>
      <c r="K28" s="10"/>
      <c r="L28" s="10"/>
      <c r="M28" s="10"/>
      <c r="N28" s="9"/>
    </row>
    <row r="29" spans="1:14" x14ac:dyDescent="0.35">
      <c r="A29" s="9"/>
      <c r="B29" s="9"/>
      <c r="C29" s="9"/>
      <c r="D29" s="9"/>
      <c r="E29" s="9"/>
      <c r="F29" s="9"/>
      <c r="G29" s="9"/>
      <c r="H29" s="9"/>
      <c r="I29" s="9"/>
      <c r="J29" s="10"/>
      <c r="K29" s="10"/>
      <c r="L29" s="10"/>
      <c r="M29" s="10"/>
      <c r="N29" s="9"/>
    </row>
    <row r="30" spans="1:14" x14ac:dyDescent="0.35">
      <c r="A30" s="9"/>
      <c r="B30" s="9"/>
      <c r="C30" s="9"/>
      <c r="D30" s="9"/>
      <c r="E30" s="9"/>
      <c r="F30" s="9"/>
      <c r="G30" s="9"/>
      <c r="H30" s="9"/>
      <c r="I30" s="9"/>
      <c r="J30" s="10"/>
      <c r="K30" s="10"/>
      <c r="L30" s="10"/>
      <c r="M30" s="10"/>
      <c r="N30" s="9"/>
    </row>
    <row r="31" spans="1:14" x14ac:dyDescent="0.35">
      <c r="A31" s="9"/>
      <c r="B31" s="9"/>
      <c r="C31" s="9"/>
      <c r="D31" s="9"/>
      <c r="E31" s="9"/>
      <c r="F31" s="9"/>
      <c r="G31" s="9"/>
      <c r="H31" s="9"/>
      <c r="I31" s="9"/>
      <c r="J31" s="10"/>
      <c r="K31" s="10"/>
      <c r="L31" s="10"/>
      <c r="M31" s="10"/>
      <c r="N31" s="9"/>
    </row>
    <row r="32" spans="1:14" x14ac:dyDescent="0.35">
      <c r="A32" s="9"/>
      <c r="B32" s="9"/>
      <c r="C32" s="9"/>
      <c r="D32" s="9"/>
      <c r="E32" s="9"/>
      <c r="F32" s="9"/>
      <c r="G32" s="9"/>
      <c r="H32" s="9"/>
      <c r="I32" s="9"/>
      <c r="J32" s="10"/>
      <c r="K32" s="10"/>
      <c r="L32" s="10"/>
      <c r="M32" s="10"/>
      <c r="N32" s="9"/>
    </row>
    <row r="33" spans="1:14" x14ac:dyDescent="0.35">
      <c r="A33" s="9"/>
      <c r="B33" s="9"/>
      <c r="C33" s="9"/>
      <c r="D33" s="9"/>
      <c r="E33" s="9"/>
      <c r="F33" s="9"/>
      <c r="G33" s="9"/>
      <c r="H33" s="9"/>
      <c r="I33" s="9"/>
      <c r="J33" s="10"/>
      <c r="K33" s="10"/>
      <c r="L33" s="10"/>
      <c r="M33" s="10"/>
      <c r="N33" s="9"/>
    </row>
    <row r="34" spans="1:14" x14ac:dyDescent="0.35">
      <c r="A34" s="9"/>
      <c r="B34" s="9"/>
      <c r="C34" s="9"/>
      <c r="D34" s="9"/>
      <c r="E34" s="9"/>
      <c r="F34" s="9"/>
      <c r="G34" s="9"/>
      <c r="H34" s="9"/>
      <c r="I34" s="9"/>
      <c r="J34" s="10"/>
      <c r="K34" s="10"/>
      <c r="L34" s="10"/>
      <c r="M34" s="10"/>
      <c r="N34" s="9"/>
    </row>
    <row r="35" spans="1:14" x14ac:dyDescent="0.35">
      <c r="A35" s="9"/>
      <c r="B35" s="9"/>
      <c r="C35" s="9"/>
      <c r="D35" s="9"/>
      <c r="E35" s="9"/>
      <c r="F35" s="9"/>
      <c r="G35" s="9"/>
      <c r="H35" s="9"/>
      <c r="I35" s="9"/>
      <c r="J35" s="10"/>
      <c r="K35" s="10"/>
      <c r="L35" s="10"/>
      <c r="M35" s="10"/>
      <c r="N35" s="9"/>
    </row>
    <row r="36" spans="1:14" x14ac:dyDescent="0.35">
      <c r="A36" s="9"/>
      <c r="B36" s="9"/>
      <c r="C36" s="9"/>
      <c r="D36" s="9"/>
      <c r="E36" s="9"/>
      <c r="F36" s="9"/>
      <c r="G36" s="9"/>
      <c r="H36" s="9"/>
      <c r="I36" s="9"/>
      <c r="J36" s="10"/>
      <c r="K36" s="10"/>
      <c r="L36" s="10"/>
      <c r="M36" s="10"/>
      <c r="N36" s="9"/>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topics!$C$2:$C$1000</xm:f>
          </x14:formula1>
          <xm:sqref>D2:D19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1"/>
  <sheetViews>
    <sheetView workbookViewId="0">
      <selection activeCell="D12" sqref="D12"/>
    </sheetView>
  </sheetViews>
  <sheetFormatPr defaultRowHeight="14.5" x14ac:dyDescent="0.35"/>
  <cols>
    <col min="2" max="2" width="26.81640625" customWidth="1"/>
    <col min="3" max="3" width="12.1796875" bestFit="1" customWidth="1"/>
    <col min="4" max="4" width="16.1796875" bestFit="1" customWidth="1"/>
    <col min="5" max="5" width="51.453125" customWidth="1"/>
  </cols>
  <sheetData>
    <row r="1" spans="1:5" x14ac:dyDescent="0.35">
      <c r="A1" s="1" t="s">
        <v>0</v>
      </c>
      <c r="B1" s="1" t="s">
        <v>1</v>
      </c>
      <c r="C1" s="1" t="s">
        <v>17</v>
      </c>
      <c r="D1" s="1" t="s">
        <v>16</v>
      </c>
      <c r="E1" s="1" t="s">
        <v>4</v>
      </c>
    </row>
    <row r="2" spans="1:5" s="2" customFormat="1" x14ac:dyDescent="0.35">
      <c r="A2" s="2">
        <v>1</v>
      </c>
      <c r="B2" s="2" t="s">
        <v>5</v>
      </c>
      <c r="C2" s="2" t="str">
        <f>LOWER(B2)</f>
        <v>design</v>
      </c>
      <c r="D2" s="2" t="s">
        <v>15</v>
      </c>
      <c r="E2" s="2" t="s">
        <v>99</v>
      </c>
    </row>
    <row r="3" spans="1:5" x14ac:dyDescent="0.35">
      <c r="A3" s="2">
        <f>A2+1</f>
        <v>2</v>
      </c>
      <c r="B3" s="2" t="s">
        <v>6</v>
      </c>
      <c r="C3" s="2" t="str">
        <f t="shared" ref="C3:C11" si="0">LOWER(B3)</f>
        <v>build</v>
      </c>
      <c r="D3" s="2" t="s">
        <v>20</v>
      </c>
      <c r="E3" s="2" t="s">
        <v>29</v>
      </c>
    </row>
    <row r="4" spans="1:5" x14ac:dyDescent="0.35">
      <c r="A4" s="2">
        <f>A3+1</f>
        <v>3</v>
      </c>
      <c r="B4" s="2" t="s">
        <v>7</v>
      </c>
      <c r="C4" s="2" t="str">
        <f t="shared" si="0"/>
        <v>philosophy</v>
      </c>
      <c r="D4" s="2" t="s">
        <v>21</v>
      </c>
      <c r="E4" t="s">
        <v>30</v>
      </c>
    </row>
    <row r="5" spans="1:5" x14ac:dyDescent="0.35">
      <c r="A5" s="2">
        <f>A4+1</f>
        <v>4</v>
      </c>
      <c r="B5" s="2" t="s">
        <v>8</v>
      </c>
      <c r="C5" s="2" t="str">
        <f t="shared" si="0"/>
        <v>lifestyle</v>
      </c>
      <c r="D5" s="2" t="s">
        <v>22</v>
      </c>
      <c r="E5" t="s">
        <v>31</v>
      </c>
    </row>
    <row r="6" spans="1:5" x14ac:dyDescent="0.35">
      <c r="A6" s="2">
        <f>A5+1</f>
        <v>5</v>
      </c>
      <c r="B6" s="2" t="s">
        <v>9</v>
      </c>
      <c r="C6" s="2" t="str">
        <f t="shared" si="0"/>
        <v>artistry</v>
      </c>
      <c r="D6" s="2" t="s">
        <v>23</v>
      </c>
      <c r="E6" t="s">
        <v>32</v>
      </c>
    </row>
    <row r="7" spans="1:5" x14ac:dyDescent="0.35">
      <c r="A7" s="2">
        <f>A6+1</f>
        <v>6</v>
      </c>
      <c r="B7" s="2" t="s">
        <v>10</v>
      </c>
      <c r="C7" s="2" t="str">
        <f t="shared" si="0"/>
        <v>food</v>
      </c>
      <c r="D7" s="2" t="s">
        <v>24</v>
      </c>
      <c r="E7" t="s">
        <v>33</v>
      </c>
    </row>
    <row r="8" spans="1:5" x14ac:dyDescent="0.35">
      <c r="A8" s="2">
        <f t="shared" ref="A8:A11" si="1">A7+1</f>
        <v>7</v>
      </c>
      <c r="B8" s="2" t="s">
        <v>11</v>
      </c>
      <c r="C8" s="2" t="str">
        <f t="shared" si="0"/>
        <v>programming</v>
      </c>
      <c r="D8" s="2" t="s">
        <v>25</v>
      </c>
      <c r="E8" t="s">
        <v>34</v>
      </c>
    </row>
    <row r="9" spans="1:5" x14ac:dyDescent="0.35">
      <c r="A9" s="2">
        <f t="shared" si="1"/>
        <v>8</v>
      </c>
      <c r="B9" s="2" t="s">
        <v>12</v>
      </c>
      <c r="C9" s="2" t="str">
        <f t="shared" si="0"/>
        <v>tech</v>
      </c>
      <c r="D9" s="2" t="s">
        <v>26</v>
      </c>
      <c r="E9" t="s">
        <v>35</v>
      </c>
    </row>
    <row r="10" spans="1:5" x14ac:dyDescent="0.35">
      <c r="A10" s="2">
        <f t="shared" si="1"/>
        <v>9</v>
      </c>
      <c r="B10" s="2" t="s">
        <v>13</v>
      </c>
      <c r="C10" s="2" t="str">
        <f t="shared" si="0"/>
        <v>gardening</v>
      </c>
      <c r="D10" s="2" t="s">
        <v>27</v>
      </c>
      <c r="E10" t="s">
        <v>37</v>
      </c>
    </row>
    <row r="11" spans="1:5" x14ac:dyDescent="0.35">
      <c r="A11" s="2">
        <f t="shared" si="1"/>
        <v>10</v>
      </c>
      <c r="B11" s="2" t="s">
        <v>14</v>
      </c>
      <c r="C11" s="2" t="str">
        <f t="shared" si="0"/>
        <v>pets</v>
      </c>
      <c r="D11" s="2" t="s">
        <v>28</v>
      </c>
      <c r="E11" t="s">
        <v>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2025-04-07T10:31:28Z</dcterms:modified>
</cp:coreProperties>
</file>